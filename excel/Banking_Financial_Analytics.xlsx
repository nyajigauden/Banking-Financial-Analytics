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anking_Financial_Analytics\excel\"/>
    </mc:Choice>
  </mc:AlternateContent>
  <bookViews>
    <workbookView xWindow="0" yWindow="0" windowWidth="19200" windowHeight="6930"/>
  </bookViews>
  <sheets>
    <sheet name="Banking_Financial_Analytics" sheetId="1" r:id="rId1"/>
    <sheet name="ReadMe" sheetId="2" r:id="rId2"/>
  </sheets>
  <definedNames>
    <definedName name="_xlnm._FilterDatabase" localSheetId="0" hidden="1">Banking_Financial_Analytics!$A$1:$I$101</definedName>
  </definedNames>
  <calcPr calcId="162913"/>
</workbook>
</file>

<file path=xl/calcChain.xml><?xml version="1.0" encoding="utf-8"?>
<calcChain xmlns="http://schemas.openxmlformats.org/spreadsheetml/2006/main">
  <c r="P8" i="1" l="1"/>
  <c r="P6" i="1"/>
  <c r="P5" i="1"/>
  <c r="P4" i="1"/>
  <c r="P3" i="1"/>
  <c r="M2" i="1" l="1"/>
  <c r="M5" i="1"/>
  <c r="M4" i="1"/>
  <c r="M3" i="1"/>
  <c r="K4" i="1"/>
  <c r="K3" i="1"/>
  <c r="K2" i="1"/>
</calcChain>
</file>

<file path=xl/sharedStrings.xml><?xml version="1.0" encoding="utf-8"?>
<sst xmlns="http://schemas.openxmlformats.org/spreadsheetml/2006/main" count="731" uniqueCount="160">
  <si>
    <t>CustomerID</t>
  </si>
  <si>
    <t>AccountType</t>
  </si>
  <si>
    <t>TransactionType</t>
  </si>
  <si>
    <t>Amount</t>
  </si>
  <si>
    <t>TransactionDate</t>
  </si>
  <si>
    <t>Channel</t>
  </si>
  <si>
    <t>Location</t>
  </si>
  <si>
    <t>IsFlagged</t>
  </si>
  <si>
    <t>TXN1001</t>
  </si>
  <si>
    <t>CUST001</t>
  </si>
  <si>
    <t>Savings</t>
  </si>
  <si>
    <t>Deposit</t>
  </si>
  <si>
    <t>Mobile</t>
  </si>
  <si>
    <t>Dar es Salaam</t>
  </si>
  <si>
    <t>No</t>
  </si>
  <si>
    <t>TXN1002</t>
  </si>
  <si>
    <t>CUST002</t>
  </si>
  <si>
    <t>Current</t>
  </si>
  <si>
    <t>Withdrawal</t>
  </si>
  <si>
    <t>ATM</t>
  </si>
  <si>
    <t>Arusha</t>
  </si>
  <si>
    <t>TXN1003</t>
  </si>
  <si>
    <t>CUST003</t>
  </si>
  <si>
    <t>Transfer</t>
  </si>
  <si>
    <t>Online</t>
  </si>
  <si>
    <t>TXN1004</t>
  </si>
  <si>
    <t>Payment</t>
  </si>
  <si>
    <t>Dodoma</t>
  </si>
  <si>
    <t>TXN1005</t>
  </si>
  <si>
    <t>CUST004</t>
  </si>
  <si>
    <t>Business</t>
  </si>
  <si>
    <t>Branch</t>
  </si>
  <si>
    <t>Mwanza</t>
  </si>
  <si>
    <t>TXN1006</t>
  </si>
  <si>
    <t>CUST005</t>
  </si>
  <si>
    <t>TXN1007</t>
  </si>
  <si>
    <t>TXN1008</t>
  </si>
  <si>
    <t>CUST006</t>
  </si>
  <si>
    <t>TXN1009</t>
  </si>
  <si>
    <t>CUST007</t>
  </si>
  <si>
    <t>Yes</t>
  </si>
  <si>
    <t>TXN1010</t>
  </si>
  <si>
    <t>TXN1011</t>
  </si>
  <si>
    <t>CUST008</t>
  </si>
  <si>
    <t>TXN1012</t>
  </si>
  <si>
    <t>TXN1013</t>
  </si>
  <si>
    <t>CUST009</t>
  </si>
  <si>
    <t>TXN1014</t>
  </si>
  <si>
    <t>TXN1015</t>
  </si>
  <si>
    <t>TXN1016</t>
  </si>
  <si>
    <t>CUST013</t>
  </si>
  <si>
    <t>TXN1017</t>
  </si>
  <si>
    <t>CUST018</t>
  </si>
  <si>
    <t>TXN1018</t>
  </si>
  <si>
    <t>CUST015</t>
  </si>
  <si>
    <t>TXN1019</t>
  </si>
  <si>
    <t>CUST017</t>
  </si>
  <si>
    <t>TXN1020</t>
  </si>
  <si>
    <t>CUST011</t>
  </si>
  <si>
    <t>TXN1021</t>
  </si>
  <si>
    <t>TXN1022</t>
  </si>
  <si>
    <t>TXN1023</t>
  </si>
  <si>
    <t>CUST020</t>
  </si>
  <si>
    <t>TXN1024</t>
  </si>
  <si>
    <t>CUST012</t>
  </si>
  <si>
    <t>TXN1025</t>
  </si>
  <si>
    <t>TXN1026</t>
  </si>
  <si>
    <t>TXN1027</t>
  </si>
  <si>
    <t>CUST016</t>
  </si>
  <si>
    <t>TXN1028</t>
  </si>
  <si>
    <t>CUST014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</si>
  <si>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</si>
  <si>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</si>
  <si>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</si>
  <si>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</si>
  <si>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</si>
  <si>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</si>
  <si>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</si>
  <si>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</si>
  <si>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</si>
  <si>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</si>
  <si>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</si>
  <si>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</si>
  <si>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</si>
  <si>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</si>
  <si>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</si>
  <si>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</si>
  <si>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</si>
  <si>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</si>
  <si>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</si>
  <si>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</si>
  <si>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</si>
  <si>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CUST010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</si>
  <si>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</si>
  <si>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</si>
  <si>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</si>
  <si>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</si>
  <si>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</si>
  <si>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</si>
  <si>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</si>
  <si>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</si>
  <si>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</si>
  <si>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</si>
  <si>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</si>
  <si>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</si>
  <si>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</si>
  <si>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</si>
  <si>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</si>
  <si>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</si>
  <si>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</si>
  <si>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</si>
  <si>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</si>
  <si>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</si>
  <si>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</si>
  <si>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</si>
  <si>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</si>
  <si>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</si>
  <si>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</si>
  <si>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</si>
  <si>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</si>
  <si>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</si>
  <si>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</si>
  <si>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</si>
  <si>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</si>
  <si>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</si>
  <si>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</si>
  <si>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</si>
  <si>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</si>
  <si>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</si>
  <si>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</si>
  <si>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</si>
  <si>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</si>
  <si>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</si>
  <si>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</si>
  <si>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</si>
  <si>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CUST019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</si>
  <si>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</si>
  <si>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</si>
  <si>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</si>
  <si>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</si>
  <si>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</si>
  <si>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</si>
  <si>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</si>
  <si>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</si>
  <si>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</si>
  <si>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Project</t>
  </si>
  <si>
    <t>Description</t>
  </si>
  <si>
    <t>Important note</t>
  </si>
  <si>
    <t>Banking &amp; Financial Transactions Analytics</t>
  </si>
  <si>
    <t>Synthetic sample data for practicing Excel, Python, PostgreSQL, SQL, and Power BI.</t>
  </si>
  <si>
    <t>IsFlagged is an illustrative review indicator, not proof of fraud. All data is synthetic.</t>
  </si>
  <si>
    <t>Total Transaction Amount (TZS)</t>
  </si>
  <si>
    <t>Average Transaction Amount (TZS)</t>
  </si>
  <si>
    <t>Flagged Transactions</t>
  </si>
  <si>
    <t>Transaction Type</t>
  </si>
  <si>
    <t>Number of Transactions</t>
  </si>
  <si>
    <t>Flagged Summary</t>
  </si>
  <si>
    <r>
      <t>Transaction Type</t>
    </r>
    <r>
      <rPr>
        <sz val="11"/>
        <color theme="1"/>
        <rFont val="Calibri"/>
        <family val="2"/>
        <scheme val="minor"/>
      </rPr>
      <t>.</t>
    </r>
  </si>
  <si>
    <t>Flagged Count</t>
  </si>
  <si>
    <t>Total Flagged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</si>
</sst>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abSelected="1" topLeftCell="H1" workbookViewId="0">
      <pane ySplit="1" topLeftCell="A2" activePane="bottomLeft" state="frozen"/>
      <selection pane="bottomLeft" activeCell="P4" sqref="P4"/>
    </sheetView>
  </sheetViews>
  <sheetFormatPr defaultRowHeight="14.5"/>
  <cols>
    <col min="1" max="1" width="16" customWidth="1"/>
    <col min="2" max="2" width="14" customWidth="1"/>
    <col min="3" max="3" width="15" customWidth="1"/>
    <col min="4" max="4" width="18" customWidth="1"/>
    <col min="5" max="5" width="14" customWidth="1"/>
    <col min="6" max="6" width="18" customWidth="1"/>
    <col min="7" max="7" width="14" customWidth="1"/>
    <col min="8" max="8" width="22" customWidth="1"/>
    <col min="9" max="9" width="12" customWidth="1"/>
    <col min="10" max="10" width="31.7265625" customWidth="1"/>
    <col min="11" max="11" width="9.7265625" bestFit="1" customWidth="1"/>
    <col min="12" max="12" width="17.453125" customWidth="1"/>
    <col min="13" max="13" width="22.90625" customWidth="1"/>
    <col min="15" max="15" width="22.7265625" customWidth="1"/>
    <col min="16" max="16" width="13" customWidth="1"/>
  </cols>
  <sheetData>
    <row r="1" spans="1:1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L1" t="s">
        <v>154</v>
      </c>
      <c r="M1" t="s">
        <v>155</v>
      </c>
      <c r="O1" t="s">
        <v>156</v>
      </c>
    </row>
    <row r="2" spans="1:16">
      <c r="A2" t="s">
        <v>8</v>
      </c>
      <c r="B2" t="s">
        <v>9</v>
      </c>
      <c r="C2" t="s">
        <v>10</v>
      </c>
      <c r="D2" t="s">
        <v>11</v>
      </c>
      <c r="E2" s="2">
        <v>150000</v>
      </c>
      <c r="F2" s="3">
        <v>46266</v>
      </c>
      <c r="G2" t="s">
        <v>12</v>
      </c>
      <c r="H2" t="s">
        <v>13</v>
      </c>
      <c r="I2" t="s">
        <v>14</v>
      </c>
      <c r="J2" t="s">
        <v>151</v>
      </c>
      <c r="K2" s="2">
        <f>SUM(E2:E101)</f>
        <v>34050000</v>
      </c>
      <c r="L2" t="s">
        <v>11</v>
      </c>
      <c r="M2">
        <f>COUNTIF(D:D,"Deposit")</f>
        <v>25</v>
      </c>
      <c r="O2" s="5" t="s">
        <v>157</v>
      </c>
      <c r="P2" t="s">
        <v>158</v>
      </c>
    </row>
    <row r="3" spans="1:16">
      <c r="A3" t="s">
        <v>15</v>
      </c>
      <c r="B3" t="s">
        <v>16</v>
      </c>
      <c r="C3" t="s">
        <v>17</v>
      </c>
      <c r="D3" t="s">
        <v>18</v>
      </c>
      <c r="E3" s="2">
        <v>80000</v>
      </c>
      <c r="F3" s="3">
        <v>46266</v>
      </c>
      <c r="G3" t="s">
        <v>19</v>
      </c>
      <c r="H3" t="s">
        <v>20</v>
      </c>
      <c r="I3" t="s">
        <v>14</v>
      </c>
      <c r="J3" t="s">
        <v>152</v>
      </c>
      <c r="K3" s="2">
        <f>AVERAGE(E2:E101)</f>
        <v>340500</v>
      </c>
      <c r="L3" t="s">
        <v>18</v>
      </c>
      <c r="M3">
        <f>COUNTIF(D:D,L3)</f>
        <v>25</v>
      </c>
      <c r="O3" t="s">
        <v>11</v>
      </c>
      <c r="P3">
        <f>COUNTIFS($D$2:$D$101,O3,$I$2:$I$101,"Yes")</f>
        <v>3</v>
      </c>
    </row>
    <row r="4" spans="1:16">
      <c r="A4" t="s">
        <v>21</v>
      </c>
      <c r="B4" t="s">
        <v>22</v>
      </c>
      <c r="C4" t="s">
        <v>10</v>
      </c>
      <c r="D4" t="s">
        <v>23</v>
      </c>
      <c r="E4" s="2">
        <v>250000</v>
      </c>
      <c r="F4" s="3">
        <v>46267</v>
      </c>
      <c r="G4" t="s">
        <v>24</v>
      </c>
      <c r="H4" t="s">
        <v>13</v>
      </c>
      <c r="I4" t="s">
        <v>14</v>
      </c>
      <c r="J4" t="s">
        <v>153</v>
      </c>
      <c r="K4">
        <f>COUNTIF(I2:I101,"Yes")</f>
        <v>11</v>
      </c>
      <c r="L4" t="s">
        <v>23</v>
      </c>
      <c r="M4">
        <f>COUNTIF(D:D,L4)</f>
        <v>28</v>
      </c>
      <c r="O4" t="s">
        <v>18</v>
      </c>
      <c r="P4">
        <f t="shared" ref="P4:P6" si="0">COUNTIFS($D$2:$D$101,O4,$I$2:$I$101,"Yes")</f>
        <v>4</v>
      </c>
    </row>
    <row r="5" spans="1:16">
      <c r="A5" t="s">
        <v>25</v>
      </c>
      <c r="B5" t="s">
        <v>9</v>
      </c>
      <c r="C5" t="s">
        <v>10</v>
      </c>
      <c r="D5" t="s">
        <v>26</v>
      </c>
      <c r="E5" s="2">
        <v>45000</v>
      </c>
      <c r="F5" s="3">
        <v>46267</v>
      </c>
      <c r="G5" t="s">
        <v>12</v>
      </c>
      <c r="H5" t="s">
        <v>27</v>
      </c>
      <c r="I5" t="s">
        <v>14</v>
      </c>
      <c r="L5" t="s">
        <v>26</v>
      </c>
      <c r="M5">
        <f>COUNTIF(D:D,L5)</f>
        <v>22</v>
      </c>
      <c r="O5" t="s">
        <v>23</v>
      </c>
      <c r="P5">
        <f t="shared" si="0"/>
        <v>4</v>
      </c>
    </row>
    <row r="6" spans="1:16">
      <c r="A6" t="s">
        <v>28</v>
      </c>
      <c r="B6" t="s">
        <v>29</v>
      </c>
      <c r="C6" t="s">
        <v>30</v>
      </c>
      <c r="D6" t="s">
        <v>11</v>
      </c>
      <c r="E6" s="2">
        <v>1200000</v>
      </c>
      <c r="F6" s="3">
        <v>46268</v>
      </c>
      <c r="G6" t="s">
        <v>31</v>
      </c>
      <c r="H6" t="s">
        <v>32</v>
      </c>
      <c r="I6" t="s">
        <v>14</v>
      </c>
      <c r="O6" t="s">
        <v>26</v>
      </c>
      <c r="P6">
        <f t="shared" si="0"/>
        <v>0</v>
      </c>
    </row>
    <row r="7" spans="1:16">
      <c r="A7" t="s">
        <v>33</v>
      </c>
      <c r="B7" t="s">
        <v>34</v>
      </c>
      <c r="C7" t="s">
        <v>17</v>
      </c>
      <c r="D7" t="s">
        <v>18</v>
      </c>
      <c r="E7" s="2">
        <v>500000</v>
      </c>
      <c r="F7" s="3">
        <v>46268</v>
      </c>
      <c r="G7" t="s">
        <v>19</v>
      </c>
      <c r="H7" t="s">
        <v>13</v>
      </c>
      <c r="I7" t="s">
        <v>14</v>
      </c>
    </row>
    <row r="8" spans="1:16">
      <c r="A8" t="s">
        <v>35</v>
      </c>
      <c r="B8" t="s">
        <v>16</v>
      </c>
      <c r="C8" t="s">
        <v>17</v>
      </c>
      <c r="D8" t="s">
        <v>23</v>
      </c>
      <c r="E8" s="2">
        <v>175000</v>
      </c>
      <c r="F8" s="3">
        <v>46269</v>
      </c>
      <c r="G8" t="s">
        <v>24</v>
      </c>
      <c r="H8" t="s">
        <v>20</v>
      </c>
      <c r="I8" t="s">
        <v>14</v>
      </c>
      <c r="O8" t="s">
        <v>159</v>
      </c>
      <c r="P8">
        <f>COUNTIF($I$2:$I$101,"Yes")</f>
        <v>11</v>
      </c>
    </row>
    <row r="9" spans="1:16">
      <c r="A9" t="s">
        <v>36</v>
      </c>
      <c r="B9" t="s">
        <v>37</v>
      </c>
      <c r="C9" t="s">
        <v>10</v>
      </c>
      <c r="D9" t="s">
        <v>26</v>
      </c>
      <c r="E9" s="2">
        <v>35000</v>
      </c>
      <c r="F9" s="3">
        <v>46269</v>
      </c>
      <c r="G9" t="s">
        <v>12</v>
      </c>
      <c r="H9" t="s">
        <v>32</v>
      </c>
      <c r="I9" t="s">
        <v>14</v>
      </c>
    </row>
    <row r="10" spans="1:16">
      <c r="A10" t="s">
        <v>38</v>
      </c>
      <c r="B10" t="s">
        <v>39</v>
      </c>
      <c r="C10" t="s">
        <v>30</v>
      </c>
      <c r="D10" t="s">
        <v>18</v>
      </c>
      <c r="E10" s="2">
        <v>2500000</v>
      </c>
      <c r="F10" s="3">
        <v>46270</v>
      </c>
      <c r="G10" t="s">
        <v>31</v>
      </c>
      <c r="H10" t="s">
        <v>13</v>
      </c>
      <c r="I10" t="s">
        <v>40</v>
      </c>
    </row>
    <row r="11" spans="1:16">
      <c r="A11" t="s">
        <v>41</v>
      </c>
      <c r="B11" t="s">
        <v>22</v>
      </c>
      <c r="C11" t="s">
        <v>10</v>
      </c>
      <c r="D11" t="s">
        <v>11</v>
      </c>
      <c r="E11" s="2">
        <v>300000</v>
      </c>
      <c r="F11" s="3">
        <v>46270</v>
      </c>
      <c r="G11" t="s">
        <v>12</v>
      </c>
      <c r="H11" t="s">
        <v>27</v>
      </c>
      <c r="I11" t="s">
        <v>14</v>
      </c>
    </row>
    <row r="12" spans="1:16">
      <c r="A12" t="s">
        <v>42</v>
      </c>
      <c r="B12" t="s">
        <v>43</v>
      </c>
      <c r="C12" t="s">
        <v>17</v>
      </c>
      <c r="D12" t="s">
        <v>23</v>
      </c>
      <c r="E12" s="2">
        <v>450000</v>
      </c>
      <c r="F12" s="3">
        <v>46271</v>
      </c>
      <c r="G12" t="s">
        <v>24</v>
      </c>
      <c r="H12" t="s">
        <v>20</v>
      </c>
      <c r="I12" t="s">
        <v>14</v>
      </c>
    </row>
    <row r="13" spans="1:16">
      <c r="A13" t="s">
        <v>44</v>
      </c>
      <c r="B13" t="s">
        <v>29</v>
      </c>
      <c r="C13" t="s">
        <v>30</v>
      </c>
      <c r="D13" t="s">
        <v>26</v>
      </c>
      <c r="E13" s="2">
        <v>90000</v>
      </c>
      <c r="F13" s="3">
        <v>46271</v>
      </c>
      <c r="G13" t="s">
        <v>12</v>
      </c>
      <c r="H13" t="s">
        <v>32</v>
      </c>
      <c r="I13" t="s">
        <v>14</v>
      </c>
    </row>
    <row r="14" spans="1:16">
      <c r="A14" t="s">
        <v>45</v>
      </c>
      <c r="B14" t="s">
        <v>46</v>
      </c>
      <c r="C14" t="s">
        <v>10</v>
      </c>
      <c r="D14" t="s">
        <v>18</v>
      </c>
      <c r="E14" s="2">
        <v>120000</v>
      </c>
      <c r="F14" s="3">
        <v>46272</v>
      </c>
      <c r="G14" t="s">
        <v>19</v>
      </c>
      <c r="H14" t="s">
        <v>13</v>
      </c>
      <c r="I14" t="s">
        <v>14</v>
      </c>
    </row>
    <row r="15" spans="1:16">
      <c r="A15" t="s">
        <v>47</v>
      </c>
      <c r="B15" t="s">
        <v>34</v>
      </c>
      <c r="C15" t="s">
        <v>17</v>
      </c>
      <c r="D15" t="s">
        <v>11</v>
      </c>
      <c r="E15" s="2">
        <v>700000</v>
      </c>
      <c r="F15" s="3">
        <v>46272</v>
      </c>
      <c r="G15" t="s">
        <v>31</v>
      </c>
      <c r="H15" t="s">
        <v>27</v>
      </c>
      <c r="I15" t="s">
        <v>14</v>
      </c>
    </row>
    <row r="16" spans="1:16">
      <c r="A16" t="s">
        <v>48</v>
      </c>
      <c r="B16" t="s">
        <v>39</v>
      </c>
      <c r="C16" t="s">
        <v>30</v>
      </c>
      <c r="D16" t="s">
        <v>23</v>
      </c>
      <c r="E16" s="2">
        <v>1800000</v>
      </c>
      <c r="F16" s="3">
        <v>46273</v>
      </c>
      <c r="G16" t="s">
        <v>24</v>
      </c>
      <c r="H16" t="s">
        <v>13</v>
      </c>
      <c r="I16" t="s">
        <v>40</v>
      </c>
    </row>
    <row r="17" spans="1:9">
      <c r="A17" t="s">
        <v>49</v>
      </c>
      <c r="B17" t="s">
        <v>50</v>
      </c>
      <c r="C17" t="s">
        <v>10</v>
      </c>
      <c r="D17" t="s">
        <v>26</v>
      </c>
      <c r="E17" s="2">
        <v>90000</v>
      </c>
      <c r="F17" s="3">
        <v>46268</v>
      </c>
      <c r="G17" t="s">
        <v>31</v>
      </c>
      <c r="H17" t="s">
        <v>27</v>
      </c>
      <c r="I17" t="s">
        <v>14</v>
      </c>
    </row>
    <row r="18" spans="1:9">
      <c r="A18" t="s">
        <v>51</v>
      </c>
      <c r="B18" t="s">
        <v>52</v>
      </c>
      <c r="C18" t="s">
        <v>17</v>
      </c>
      <c r="D18" t="s">
        <v>11</v>
      </c>
      <c r="E18" s="2">
        <v>50000</v>
      </c>
      <c r="F18" s="3">
        <v>46287</v>
      </c>
      <c r="G18" t="s">
        <v>24</v>
      </c>
      <c r="H18" t="s">
        <v>13</v>
      </c>
      <c r="I18" t="s">
        <v>14</v>
      </c>
    </row>
    <row r="19" spans="1:9">
      <c r="A19" t="s">
        <v>53</v>
      </c>
      <c r="B19" t="s">
        <v>54</v>
      </c>
      <c r="C19" t="s">
        <v>10</v>
      </c>
      <c r="D19" t="s">
        <v>23</v>
      </c>
      <c r="E19" s="2">
        <v>700000</v>
      </c>
      <c r="F19" s="3">
        <v>46271</v>
      </c>
      <c r="G19" t="s">
        <v>24</v>
      </c>
      <c r="H19" t="s">
        <v>20</v>
      </c>
      <c r="I19" t="s">
        <v>14</v>
      </c>
    </row>
    <row r="20" spans="1:9">
      <c r="A20" t="s">
        <v>55</v>
      </c>
      <c r="B20" t="s">
        <v>56</v>
      </c>
      <c r="C20" t="s">
        <v>17</v>
      </c>
      <c r="D20" t="s">
        <v>11</v>
      </c>
      <c r="E20" s="2">
        <v>300000</v>
      </c>
      <c r="F20" s="3">
        <v>46292</v>
      </c>
      <c r="G20" t="s">
        <v>19</v>
      </c>
      <c r="H20" t="s">
        <v>27</v>
      </c>
      <c r="I20" t="s">
        <v>14</v>
      </c>
    </row>
    <row r="21" spans="1:9">
      <c r="A21" t="s">
        <v>57</v>
      </c>
      <c r="B21" t="s">
        <v>58</v>
      </c>
      <c r="C21" t="s">
        <v>10</v>
      </c>
      <c r="D21" t="s">
        <v>18</v>
      </c>
      <c r="E21" s="2">
        <v>10000</v>
      </c>
      <c r="F21" s="3">
        <v>46285</v>
      </c>
      <c r="G21" t="s">
        <v>12</v>
      </c>
      <c r="H21" t="s">
        <v>27</v>
      </c>
      <c r="I21" t="s">
        <v>14</v>
      </c>
    </row>
    <row r="22" spans="1:9">
      <c r="A22" t="s">
        <v>59</v>
      </c>
      <c r="B22" t="s">
        <v>43</v>
      </c>
      <c r="C22" t="s">
        <v>30</v>
      </c>
      <c r="D22" t="s">
        <v>23</v>
      </c>
      <c r="E22" s="2">
        <v>175000</v>
      </c>
      <c r="F22" s="3">
        <v>46267</v>
      </c>
      <c r="G22" t="s">
        <v>12</v>
      </c>
      <c r="H22" t="s">
        <v>13</v>
      </c>
      <c r="I22" t="s">
        <v>14</v>
      </c>
    </row>
    <row r="23" spans="1:9">
      <c r="A23" t="s">
        <v>60</v>
      </c>
      <c r="B23" t="s">
        <v>52</v>
      </c>
      <c r="C23" t="s">
        <v>17</v>
      </c>
      <c r="D23" t="s">
        <v>26</v>
      </c>
      <c r="E23" s="2">
        <v>250000</v>
      </c>
      <c r="F23" s="3">
        <v>46268</v>
      </c>
      <c r="G23" t="s">
        <v>19</v>
      </c>
      <c r="H23" t="s">
        <v>32</v>
      </c>
      <c r="I23" t="s">
        <v>14</v>
      </c>
    </row>
    <row r="24" spans="1:9">
      <c r="A24" t="s">
        <v>61</v>
      </c>
      <c r="B24" t="s">
        <v>62</v>
      </c>
      <c r="C24" t="s">
        <v>10</v>
      </c>
      <c r="D24" t="s">
        <v>18</v>
      </c>
      <c r="E24" s="2">
        <v>120000</v>
      </c>
      <c r="F24" s="3">
        <v>46282</v>
      </c>
      <c r="G24" t="s">
        <v>19</v>
      </c>
      <c r="H24" t="s">
        <v>20</v>
      </c>
      <c r="I24" t="s">
        <v>14</v>
      </c>
    </row>
    <row r="25" spans="1:9">
      <c r="A25" t="s">
        <v>63</v>
      </c>
      <c r="B25" t="s">
        <v>64</v>
      </c>
      <c r="C25" t="s">
        <v>10</v>
      </c>
      <c r="D25" t="s">
        <v>23</v>
      </c>
      <c r="E25" s="2">
        <v>700000</v>
      </c>
      <c r="F25" s="3">
        <v>46287</v>
      </c>
      <c r="G25" t="s">
        <v>31</v>
      </c>
      <c r="H25" t="s">
        <v>13</v>
      </c>
      <c r="I25" t="s">
        <v>14</v>
      </c>
    </row>
    <row r="26" spans="1:9">
      <c r="A26" t="s">
        <v>65</v>
      </c>
      <c r="B26" t="s">
        <v>58</v>
      </c>
      <c r="C26" t="s">
        <v>10</v>
      </c>
      <c r="D26" t="s">
        <v>18</v>
      </c>
      <c r="E26" s="2">
        <v>80000</v>
      </c>
      <c r="F26" s="3">
        <v>46268</v>
      </c>
      <c r="G26" t="s">
        <v>19</v>
      </c>
      <c r="H26" t="s">
        <v>20</v>
      </c>
      <c r="I26" t="s">
        <v>14</v>
      </c>
    </row>
    <row r="27" spans="1:9">
      <c r="A27" t="s">
        <v>66</v>
      </c>
      <c r="B27" t="s">
        <v>16</v>
      </c>
      <c r="C27" t="s">
        <v>10</v>
      </c>
      <c r="D27" t="s">
        <v>11</v>
      </c>
      <c r="E27" s="2">
        <v>50000</v>
      </c>
      <c r="F27" s="3">
        <v>46288</v>
      </c>
      <c r="G27" t="s">
        <v>12</v>
      </c>
      <c r="H27" t="s">
        <v>27</v>
      </c>
      <c r="I27" t="s">
        <v>14</v>
      </c>
    </row>
    <row r="28" spans="1:9">
      <c r="A28" t="s">
        <v>67</v>
      </c>
      <c r="B28" t="s">
        <v>68</v>
      </c>
      <c r="C28" t="s">
        <v>10</v>
      </c>
      <c r="D28" t="s">
        <v>11</v>
      </c>
      <c r="E28" s="2">
        <v>150000</v>
      </c>
      <c r="F28" s="3">
        <v>46274</v>
      </c>
      <c r="G28" t="s">
        <v>19</v>
      </c>
      <c r="H28" t="s">
        <v>32</v>
      </c>
      <c r="I28" t="s">
        <v>14</v>
      </c>
    </row>
    <row r="29" spans="1:9">
      <c r="A29" t="s">
        <v>69</v>
      </c>
      <c r="B29" t="s">
        <v>70</v>
      </c>
      <c r="C29" t="s">
        <v>10</v>
      </c>
      <c r="D29" t="s">
        <v>18</v>
      </c>
      <c r="E29" s="2">
        <v>500000</v>
      </c>
      <c r="F29" s="3">
        <v>46291</v>
      </c>
      <c r="G29" t="s">
        <v>12</v>
      </c>
      <c r="H29" t="s">
        <v>32</v>
      </c>
      <c r="I29" t="s">
        <v>40</v>
      </c>
    </row>
    <row r="30" spans="1:9">
      <c r="A30" t="s">
        <v>71</v>
      </c>
      <c r="B30" t="s">
        <v>54</v>
      </c>
      <c r="C30" t="s">
        <v>30</v>
      </c>
      <c r="D30" t="s">
        <v>23</v>
      </c>
      <c r="E30" s="2">
        <v>700000</v>
      </c>
      <c r="F30" s="3">
        <v>46279</v>
      </c>
      <c r="G30" t="s">
        <v>12</v>
      </c>
      <c r="H30" t="s">
        <v>13</v>
      </c>
      <c r="I30" t="s">
        <v>14</v>
      </c>
    </row>
    <row r="31" spans="1:9">
      <c r="A31" t="s">
        <v>72</v>
      </c>
      <c r="B31" t="s">
        <v>58</v>
      </c>
      <c r="C31" t="s">
        <v>17</v>
      </c>
      <c r="D31" t="s">
        <v>11</v>
      </c>
      <c r="E31" s="2">
        <v>700000</v>
      </c>
      <c r="F31" s="3">
        <v>46289</v>
      </c>
      <c r="G31" t="s">
        <v>12</v>
      </c>
      <c r="H31" t="s">
        <v>20</v>
      </c>
      <c r="I31" t="s">
        <v>14</v>
      </c>
    </row>
    <row r="32" spans="1:9">
      <c r="A32" t="s">
        <v>73</v>
      </c>
      <c r="B32" t="s">
        <v>54</v>
      </c>
      <c r="C32" t="s">
        <v>10</v>
      </c>
      <c r="D32" t="s">
        <v>18</v>
      </c>
      <c r="E32" s="2">
        <v>80000</v>
      </c>
      <c r="F32" s="3">
        <v>46283</v>
      </c>
      <c r="G32" t="s">
        <v>19</v>
      </c>
      <c r="H32" t="s">
        <v>27</v>
      </c>
      <c r="I32" t="s">
        <v>14</v>
      </c>
    </row>
    <row r="33" spans="1:9">
      <c r="A33" t="s">
        <v>74</v>
      </c>
      <c r="B33" t="s">
        <v>22</v>
      </c>
      <c r="C33" t="s">
        <v>10</v>
      </c>
      <c r="D33" t="s">
        <v>26</v>
      </c>
      <c r="E33" s="2">
        <v>15000</v>
      </c>
      <c r="F33" s="3">
        <v>46293</v>
      </c>
      <c r="G33" t="s">
        <v>12</v>
      </c>
      <c r="H33" t="s">
        <v>13</v>
      </c>
      <c r="I33" t="s">
        <v>14</v>
      </c>
    </row>
    <row r="34" spans="1:9">
      <c r="A34" t="s">
        <v>75</v>
      </c>
      <c r="B34" t="s">
        <v>43</v>
      </c>
      <c r="C34" t="s">
        <v>10</v>
      </c>
      <c r="D34" t="s">
        <v>11</v>
      </c>
      <c r="E34" s="2">
        <v>50000</v>
      </c>
      <c r="F34" s="3">
        <v>46295</v>
      </c>
      <c r="G34" t="s">
        <v>31</v>
      </c>
      <c r="H34" t="s">
        <v>32</v>
      </c>
      <c r="I34" t="s">
        <v>14</v>
      </c>
    </row>
    <row r="35" spans="1:9">
      <c r="A35" t="s">
        <v>76</v>
      </c>
      <c r="B35" t="s">
        <v>16</v>
      </c>
      <c r="C35" t="s">
        <v>10</v>
      </c>
      <c r="D35" t="s">
        <v>18</v>
      </c>
      <c r="E35" s="2">
        <v>250000</v>
      </c>
      <c r="F35" s="3">
        <v>46294</v>
      </c>
      <c r="G35" t="s">
        <v>12</v>
      </c>
      <c r="H35" t="s">
        <v>32</v>
      </c>
      <c r="I35" t="s">
        <v>14</v>
      </c>
    </row>
    <row r="36" spans="1:9">
      <c r="A36" t="s">
        <v>77</v>
      </c>
      <c r="B36" t="s">
        <v>70</v>
      </c>
      <c r="C36" t="s">
        <v>17</v>
      </c>
      <c r="D36" t="s">
        <v>23</v>
      </c>
      <c r="E36" s="2">
        <v>1800000</v>
      </c>
      <c r="F36" s="3">
        <v>46275</v>
      </c>
      <c r="G36" t="s">
        <v>31</v>
      </c>
      <c r="H36" t="s">
        <v>20</v>
      </c>
      <c r="I36" t="s">
        <v>40</v>
      </c>
    </row>
    <row r="37" spans="1:9">
      <c r="A37" t="s">
        <v>78</v>
      </c>
      <c r="B37" t="s">
        <v>16</v>
      </c>
      <c r="C37" t="s">
        <v>17</v>
      </c>
      <c r="D37" t="s">
        <v>18</v>
      </c>
      <c r="E37" s="2">
        <v>120000</v>
      </c>
      <c r="F37" s="3">
        <v>46272</v>
      </c>
      <c r="G37" t="s">
        <v>12</v>
      </c>
      <c r="H37" t="s">
        <v>27</v>
      </c>
      <c r="I37" t="s">
        <v>14</v>
      </c>
    </row>
    <row r="38" spans="1:9">
      <c r="A38" t="s">
        <v>79</v>
      </c>
      <c r="B38" t="s">
        <v>68</v>
      </c>
      <c r="C38" t="s">
        <v>10</v>
      </c>
      <c r="D38" t="s">
        <v>11</v>
      </c>
      <c r="E38" s="2">
        <v>15000</v>
      </c>
      <c r="F38" s="3">
        <v>46284</v>
      </c>
      <c r="G38" t="s">
        <v>19</v>
      </c>
      <c r="H38" t="s">
        <v>13</v>
      </c>
      <c r="I38" t="s">
        <v>14</v>
      </c>
    </row>
    <row r="39" spans="1:9">
      <c r="A39" t="s">
        <v>80</v>
      </c>
      <c r="B39" t="s">
        <v>62</v>
      </c>
      <c r="C39" t="s">
        <v>10</v>
      </c>
      <c r="D39" t="s">
        <v>11</v>
      </c>
      <c r="E39" s="2">
        <v>100000</v>
      </c>
      <c r="F39" s="3">
        <v>46268</v>
      </c>
      <c r="G39" t="s">
        <v>19</v>
      </c>
      <c r="H39" t="s">
        <v>32</v>
      </c>
      <c r="I39" t="s">
        <v>14</v>
      </c>
    </row>
    <row r="40" spans="1:9">
      <c r="A40" t="s">
        <v>81</v>
      </c>
      <c r="B40" t="s">
        <v>62</v>
      </c>
      <c r="C40" t="s">
        <v>10</v>
      </c>
      <c r="D40" t="s">
        <v>11</v>
      </c>
      <c r="E40" s="2">
        <v>150000</v>
      </c>
      <c r="F40" s="3">
        <v>46284</v>
      </c>
      <c r="G40" t="s">
        <v>12</v>
      </c>
      <c r="H40" t="s">
        <v>32</v>
      </c>
      <c r="I40" t="s">
        <v>14</v>
      </c>
    </row>
    <row r="41" spans="1:9">
      <c r="A41" t="s">
        <v>82</v>
      </c>
      <c r="B41" t="s">
        <v>58</v>
      </c>
      <c r="C41" t="s">
        <v>10</v>
      </c>
      <c r="D41" t="s">
        <v>23</v>
      </c>
      <c r="E41" s="2">
        <v>250000</v>
      </c>
      <c r="F41" s="3">
        <v>46272</v>
      </c>
      <c r="G41" t="s">
        <v>31</v>
      </c>
      <c r="H41" t="s">
        <v>20</v>
      </c>
      <c r="I41" t="s">
        <v>14</v>
      </c>
    </row>
    <row r="42" spans="1:9">
      <c r="A42" t="s">
        <v>83</v>
      </c>
      <c r="B42" t="s">
        <v>22</v>
      </c>
      <c r="C42" t="s">
        <v>10</v>
      </c>
      <c r="D42" t="s">
        <v>23</v>
      </c>
      <c r="E42" s="2">
        <v>1800000</v>
      </c>
      <c r="F42" s="3">
        <v>46276</v>
      </c>
      <c r="G42" t="s">
        <v>12</v>
      </c>
      <c r="H42" t="s">
        <v>13</v>
      </c>
      <c r="I42" t="s">
        <v>40</v>
      </c>
    </row>
    <row r="43" spans="1:9">
      <c r="A43" t="s">
        <v>84</v>
      </c>
      <c r="B43" t="s">
        <v>64</v>
      </c>
      <c r="C43" t="s">
        <v>30</v>
      </c>
      <c r="D43" t="s">
        <v>18</v>
      </c>
      <c r="E43" s="2">
        <v>120000</v>
      </c>
      <c r="F43" s="3">
        <v>46270</v>
      </c>
      <c r="G43" t="s">
        <v>19</v>
      </c>
      <c r="H43" t="s">
        <v>27</v>
      </c>
      <c r="I43" t="s">
        <v>14</v>
      </c>
    </row>
    <row r="44" spans="1:9">
      <c r="A44" t="s">
        <v>85</v>
      </c>
      <c r="B44" t="s">
        <v>52</v>
      </c>
      <c r="C44" t="s">
        <v>17</v>
      </c>
      <c r="D44" t="s">
        <v>23</v>
      </c>
      <c r="E44" s="2">
        <v>90000</v>
      </c>
      <c r="F44" s="3">
        <v>46280</v>
      </c>
      <c r="G44" t="s">
        <v>12</v>
      </c>
      <c r="H44" t="s">
        <v>27</v>
      </c>
      <c r="I44" t="s">
        <v>14</v>
      </c>
    </row>
    <row r="45" spans="1:9">
      <c r="A45" t="s">
        <v>86</v>
      </c>
      <c r="B45" t="s">
        <v>29</v>
      </c>
      <c r="C45" t="s">
        <v>30</v>
      </c>
      <c r="D45" t="s">
        <v>11</v>
      </c>
      <c r="E45" s="2">
        <v>100000</v>
      </c>
      <c r="F45" s="3">
        <v>46274</v>
      </c>
      <c r="G45" t="s">
        <v>19</v>
      </c>
      <c r="H45" t="s">
        <v>27</v>
      </c>
      <c r="I45" t="s">
        <v>14</v>
      </c>
    </row>
    <row r="46" spans="1:9">
      <c r="A46" t="s">
        <v>87</v>
      </c>
      <c r="B46" t="s">
        <v>58</v>
      </c>
      <c r="C46" t="s">
        <v>10</v>
      </c>
      <c r="D46" t="s">
        <v>23</v>
      </c>
      <c r="E46" s="2">
        <v>175000</v>
      </c>
      <c r="F46" s="3">
        <v>46288</v>
      </c>
      <c r="G46" t="s">
        <v>24</v>
      </c>
      <c r="H46" t="s">
        <v>32</v>
      </c>
      <c r="I46" t="s">
        <v>14</v>
      </c>
    </row>
    <row r="47" spans="1:9">
      <c r="A47" t="s">
        <v>88</v>
      </c>
      <c r="B47" t="s">
        <v>70</v>
      </c>
      <c r="C47" t="s">
        <v>17</v>
      </c>
      <c r="D47" t="s">
        <v>23</v>
      </c>
      <c r="E47" s="2">
        <v>20000</v>
      </c>
      <c r="F47" s="3">
        <v>46268</v>
      </c>
      <c r="G47" t="s">
        <v>12</v>
      </c>
      <c r="H47" t="s">
        <v>13</v>
      </c>
      <c r="I47" t="s">
        <v>14</v>
      </c>
    </row>
    <row r="48" spans="1:9">
      <c r="A48" t="s">
        <v>89</v>
      </c>
      <c r="B48" t="s">
        <v>46</v>
      </c>
      <c r="C48" t="s">
        <v>10</v>
      </c>
      <c r="D48" t="s">
        <v>23</v>
      </c>
      <c r="E48" s="2">
        <v>90000</v>
      </c>
      <c r="F48" s="3">
        <v>46286</v>
      </c>
      <c r="G48" t="s">
        <v>31</v>
      </c>
      <c r="H48" t="s">
        <v>32</v>
      </c>
      <c r="I48" t="s">
        <v>14</v>
      </c>
    </row>
    <row r="49" spans="1:9">
      <c r="A49" t="s">
        <v>90</v>
      </c>
      <c r="B49" t="s">
        <v>34</v>
      </c>
      <c r="C49" t="s">
        <v>10</v>
      </c>
      <c r="D49" t="s">
        <v>11</v>
      </c>
      <c r="E49" s="2">
        <v>50000</v>
      </c>
      <c r="F49" s="3">
        <v>46268</v>
      </c>
      <c r="G49" t="s">
        <v>24</v>
      </c>
      <c r="H49" t="s">
        <v>20</v>
      </c>
      <c r="I49" t="s">
        <v>14</v>
      </c>
    </row>
    <row r="50" spans="1:9">
      <c r="A50" t="s">
        <v>91</v>
      </c>
      <c r="B50" t="s">
        <v>92</v>
      </c>
      <c r="C50" t="s">
        <v>10</v>
      </c>
      <c r="D50" t="s">
        <v>26</v>
      </c>
      <c r="E50" s="2">
        <v>15000</v>
      </c>
      <c r="F50" s="3">
        <v>46267</v>
      </c>
      <c r="G50" t="s">
        <v>12</v>
      </c>
      <c r="H50" t="s">
        <v>27</v>
      </c>
      <c r="I50" t="s">
        <v>14</v>
      </c>
    </row>
    <row r="51" spans="1:9">
      <c r="A51" t="s">
        <v>93</v>
      </c>
      <c r="B51" t="s">
        <v>29</v>
      </c>
      <c r="C51" t="s">
        <v>10</v>
      </c>
      <c r="D51" t="s">
        <v>18</v>
      </c>
      <c r="E51" s="2">
        <v>80000</v>
      </c>
      <c r="F51" s="3">
        <v>46287</v>
      </c>
      <c r="G51" t="s">
        <v>31</v>
      </c>
      <c r="H51" t="s">
        <v>20</v>
      </c>
      <c r="I51" t="s">
        <v>14</v>
      </c>
    </row>
    <row r="52" spans="1:9">
      <c r="A52" t="s">
        <v>94</v>
      </c>
      <c r="B52" t="s">
        <v>37</v>
      </c>
      <c r="C52" t="s">
        <v>30</v>
      </c>
      <c r="D52" t="s">
        <v>18</v>
      </c>
      <c r="E52" s="2">
        <v>35000</v>
      </c>
      <c r="F52" s="3">
        <v>46291</v>
      </c>
      <c r="G52" t="s">
        <v>12</v>
      </c>
      <c r="H52" t="s">
        <v>20</v>
      </c>
      <c r="I52" t="s">
        <v>14</v>
      </c>
    </row>
    <row r="53" spans="1:9">
      <c r="A53" t="s">
        <v>95</v>
      </c>
      <c r="B53" t="s">
        <v>43</v>
      </c>
      <c r="C53" t="s">
        <v>10</v>
      </c>
      <c r="D53" t="s">
        <v>23</v>
      </c>
      <c r="E53" s="2">
        <v>700000</v>
      </c>
      <c r="F53" s="3">
        <v>46291</v>
      </c>
      <c r="G53" t="s">
        <v>12</v>
      </c>
      <c r="H53" t="s">
        <v>32</v>
      </c>
      <c r="I53" t="s">
        <v>14</v>
      </c>
    </row>
    <row r="54" spans="1:9">
      <c r="A54" t="s">
        <v>96</v>
      </c>
      <c r="B54" t="s">
        <v>39</v>
      </c>
      <c r="C54" t="s">
        <v>17</v>
      </c>
      <c r="D54" t="s">
        <v>11</v>
      </c>
      <c r="E54" s="2">
        <v>1200000</v>
      </c>
      <c r="F54" s="3">
        <v>46273</v>
      </c>
      <c r="G54" t="s">
        <v>31</v>
      </c>
      <c r="H54" t="s">
        <v>27</v>
      </c>
      <c r="I54" t="s">
        <v>40</v>
      </c>
    </row>
    <row r="55" spans="1:9">
      <c r="A55" t="s">
        <v>97</v>
      </c>
      <c r="B55" t="s">
        <v>9</v>
      </c>
      <c r="C55" t="s">
        <v>17</v>
      </c>
      <c r="D55" t="s">
        <v>23</v>
      </c>
      <c r="E55" s="2">
        <v>175000</v>
      </c>
      <c r="F55" s="3">
        <v>46273</v>
      </c>
      <c r="G55" t="s">
        <v>31</v>
      </c>
      <c r="H55" t="s">
        <v>27</v>
      </c>
      <c r="I55" t="s">
        <v>14</v>
      </c>
    </row>
    <row r="56" spans="1:9">
      <c r="A56" t="s">
        <v>98</v>
      </c>
      <c r="B56" t="s">
        <v>46</v>
      </c>
      <c r="C56" t="s">
        <v>10</v>
      </c>
      <c r="D56" t="s">
        <v>23</v>
      </c>
      <c r="E56" s="2">
        <v>45000</v>
      </c>
      <c r="F56" s="3">
        <v>46290</v>
      </c>
      <c r="G56" t="s">
        <v>31</v>
      </c>
      <c r="H56" t="s">
        <v>27</v>
      </c>
      <c r="I56" t="s">
        <v>14</v>
      </c>
    </row>
    <row r="57" spans="1:9">
      <c r="A57" t="s">
        <v>99</v>
      </c>
      <c r="B57" t="s">
        <v>46</v>
      </c>
      <c r="C57" t="s">
        <v>10</v>
      </c>
      <c r="D57" t="s">
        <v>11</v>
      </c>
      <c r="E57" s="2">
        <v>50000</v>
      </c>
      <c r="F57" s="3">
        <v>46294</v>
      </c>
      <c r="G57" t="s">
        <v>24</v>
      </c>
      <c r="H57" t="s">
        <v>13</v>
      </c>
      <c r="I57" t="s">
        <v>14</v>
      </c>
    </row>
    <row r="58" spans="1:9">
      <c r="A58" t="s">
        <v>100</v>
      </c>
      <c r="B58" t="s">
        <v>58</v>
      </c>
      <c r="C58" t="s">
        <v>10</v>
      </c>
      <c r="D58" t="s">
        <v>11</v>
      </c>
      <c r="E58" s="2">
        <v>700000</v>
      </c>
      <c r="F58" s="3">
        <v>46277</v>
      </c>
      <c r="G58" t="s">
        <v>12</v>
      </c>
      <c r="H58" t="s">
        <v>32</v>
      </c>
      <c r="I58" t="s">
        <v>14</v>
      </c>
    </row>
    <row r="59" spans="1:9">
      <c r="A59" t="s">
        <v>101</v>
      </c>
      <c r="B59" t="s">
        <v>70</v>
      </c>
      <c r="C59" t="s">
        <v>10</v>
      </c>
      <c r="D59" t="s">
        <v>18</v>
      </c>
      <c r="E59" s="2">
        <v>120000</v>
      </c>
      <c r="F59" s="3">
        <v>46267</v>
      </c>
      <c r="G59" t="s">
        <v>19</v>
      </c>
      <c r="H59" t="s">
        <v>27</v>
      </c>
      <c r="I59" t="s">
        <v>14</v>
      </c>
    </row>
    <row r="60" spans="1:9">
      <c r="A60" t="s">
        <v>102</v>
      </c>
      <c r="B60" t="s">
        <v>58</v>
      </c>
      <c r="C60" t="s">
        <v>17</v>
      </c>
      <c r="D60" t="s">
        <v>26</v>
      </c>
      <c r="E60" s="2">
        <v>5000</v>
      </c>
      <c r="F60" s="3">
        <v>46287</v>
      </c>
      <c r="G60" t="s">
        <v>12</v>
      </c>
      <c r="H60" t="s">
        <v>27</v>
      </c>
      <c r="I60" t="s">
        <v>14</v>
      </c>
    </row>
    <row r="61" spans="1:9">
      <c r="A61" t="s">
        <v>103</v>
      </c>
      <c r="B61" t="s">
        <v>50</v>
      </c>
      <c r="C61" t="s">
        <v>17</v>
      </c>
      <c r="D61" t="s">
        <v>23</v>
      </c>
      <c r="E61" s="2">
        <v>700000</v>
      </c>
      <c r="F61" s="3">
        <v>46276</v>
      </c>
      <c r="G61" t="s">
        <v>19</v>
      </c>
      <c r="H61" t="s">
        <v>20</v>
      </c>
      <c r="I61" t="s">
        <v>14</v>
      </c>
    </row>
    <row r="62" spans="1:9">
      <c r="A62" t="s">
        <v>104</v>
      </c>
      <c r="B62" t="s">
        <v>37</v>
      </c>
      <c r="C62" t="s">
        <v>17</v>
      </c>
      <c r="D62" t="s">
        <v>26</v>
      </c>
      <c r="E62" s="2">
        <v>120000</v>
      </c>
      <c r="F62" s="3">
        <v>46278</v>
      </c>
      <c r="G62" t="s">
        <v>24</v>
      </c>
      <c r="H62" t="s">
        <v>32</v>
      </c>
      <c r="I62" t="s">
        <v>14</v>
      </c>
    </row>
    <row r="63" spans="1:9">
      <c r="A63" t="s">
        <v>105</v>
      </c>
      <c r="B63" t="s">
        <v>39</v>
      </c>
      <c r="C63" t="s">
        <v>10</v>
      </c>
      <c r="D63" t="s">
        <v>11</v>
      </c>
      <c r="E63" s="2">
        <v>300000</v>
      </c>
      <c r="F63" s="3">
        <v>46275</v>
      </c>
      <c r="G63" t="s">
        <v>24</v>
      </c>
      <c r="H63" t="s">
        <v>32</v>
      </c>
      <c r="I63" t="s">
        <v>14</v>
      </c>
    </row>
    <row r="64" spans="1:9">
      <c r="A64" t="s">
        <v>106</v>
      </c>
      <c r="B64" t="s">
        <v>39</v>
      </c>
      <c r="C64" t="s">
        <v>10</v>
      </c>
      <c r="D64" t="s">
        <v>26</v>
      </c>
      <c r="E64" s="2">
        <v>45000</v>
      </c>
      <c r="F64" s="3">
        <v>46287</v>
      </c>
      <c r="G64" t="s">
        <v>19</v>
      </c>
      <c r="H64" t="s">
        <v>13</v>
      </c>
      <c r="I64" t="s">
        <v>14</v>
      </c>
    </row>
    <row r="65" spans="1:9">
      <c r="A65" t="s">
        <v>107</v>
      </c>
      <c r="B65" t="s">
        <v>43</v>
      </c>
      <c r="C65" t="s">
        <v>17</v>
      </c>
      <c r="D65" t="s">
        <v>23</v>
      </c>
      <c r="E65" s="2">
        <v>450000</v>
      </c>
      <c r="F65" s="3">
        <v>46268</v>
      </c>
      <c r="G65" t="s">
        <v>19</v>
      </c>
      <c r="H65" t="s">
        <v>20</v>
      </c>
      <c r="I65" t="s">
        <v>14</v>
      </c>
    </row>
    <row r="66" spans="1:9">
      <c r="A66" t="s">
        <v>108</v>
      </c>
      <c r="B66" t="s">
        <v>43</v>
      </c>
      <c r="C66" t="s">
        <v>30</v>
      </c>
      <c r="D66" t="s">
        <v>18</v>
      </c>
      <c r="E66" s="2">
        <v>10000</v>
      </c>
      <c r="F66" s="3">
        <v>46267</v>
      </c>
      <c r="G66" t="s">
        <v>12</v>
      </c>
      <c r="H66" t="s">
        <v>32</v>
      </c>
      <c r="I66" t="s">
        <v>14</v>
      </c>
    </row>
    <row r="67" spans="1:9">
      <c r="A67" t="s">
        <v>109</v>
      </c>
      <c r="B67" t="s">
        <v>39</v>
      </c>
      <c r="C67" t="s">
        <v>17</v>
      </c>
      <c r="D67" t="s">
        <v>26</v>
      </c>
      <c r="E67" s="2">
        <v>120000</v>
      </c>
      <c r="F67" s="3">
        <v>46284</v>
      </c>
      <c r="G67" t="s">
        <v>31</v>
      </c>
      <c r="H67" t="s">
        <v>32</v>
      </c>
      <c r="I67" t="s">
        <v>14</v>
      </c>
    </row>
    <row r="68" spans="1:9">
      <c r="A68" t="s">
        <v>110</v>
      </c>
      <c r="B68" t="s">
        <v>9</v>
      </c>
      <c r="C68" t="s">
        <v>30</v>
      </c>
      <c r="D68" t="s">
        <v>26</v>
      </c>
      <c r="E68" s="2">
        <v>15000</v>
      </c>
      <c r="F68" s="3">
        <v>46270</v>
      </c>
      <c r="G68" t="s">
        <v>12</v>
      </c>
      <c r="H68" t="s">
        <v>32</v>
      </c>
      <c r="I68" t="s">
        <v>14</v>
      </c>
    </row>
    <row r="69" spans="1:9">
      <c r="A69" t="s">
        <v>111</v>
      </c>
      <c r="B69" t="s">
        <v>56</v>
      </c>
      <c r="C69" t="s">
        <v>10</v>
      </c>
      <c r="D69" t="s">
        <v>18</v>
      </c>
      <c r="E69" s="2">
        <v>35000</v>
      </c>
      <c r="F69" s="3">
        <v>46291</v>
      </c>
      <c r="G69" t="s">
        <v>19</v>
      </c>
      <c r="H69" t="s">
        <v>13</v>
      </c>
      <c r="I69" t="s">
        <v>14</v>
      </c>
    </row>
    <row r="70" spans="1:9">
      <c r="A70" t="s">
        <v>112</v>
      </c>
      <c r="B70" t="s">
        <v>54</v>
      </c>
      <c r="C70" t="s">
        <v>17</v>
      </c>
      <c r="D70" t="s">
        <v>26</v>
      </c>
      <c r="E70" s="2">
        <v>15000</v>
      </c>
      <c r="F70" s="3">
        <v>46291</v>
      </c>
      <c r="G70" t="s">
        <v>24</v>
      </c>
      <c r="H70" t="s">
        <v>32</v>
      </c>
      <c r="I70" t="s">
        <v>14</v>
      </c>
    </row>
    <row r="71" spans="1:9">
      <c r="A71" t="s">
        <v>113</v>
      </c>
      <c r="B71" t="s">
        <v>52</v>
      </c>
      <c r="C71" t="s">
        <v>10</v>
      </c>
      <c r="D71" t="s">
        <v>26</v>
      </c>
      <c r="E71" s="2">
        <v>250000</v>
      </c>
      <c r="F71" s="3">
        <v>46295</v>
      </c>
      <c r="G71" t="s">
        <v>19</v>
      </c>
      <c r="H71" t="s">
        <v>32</v>
      </c>
      <c r="I71" t="s">
        <v>14</v>
      </c>
    </row>
    <row r="72" spans="1:9">
      <c r="A72" t="s">
        <v>114</v>
      </c>
      <c r="B72" t="s">
        <v>43</v>
      </c>
      <c r="C72" t="s">
        <v>17</v>
      </c>
      <c r="D72" t="s">
        <v>26</v>
      </c>
      <c r="E72" s="2">
        <v>35000</v>
      </c>
      <c r="F72" s="3">
        <v>46290</v>
      </c>
      <c r="G72" t="s">
        <v>24</v>
      </c>
      <c r="H72" t="s">
        <v>32</v>
      </c>
      <c r="I72" t="s">
        <v>14</v>
      </c>
    </row>
    <row r="73" spans="1:9">
      <c r="A73" t="s">
        <v>115</v>
      </c>
      <c r="B73" t="s">
        <v>22</v>
      </c>
      <c r="C73" t="s">
        <v>17</v>
      </c>
      <c r="D73" t="s">
        <v>18</v>
      </c>
      <c r="E73" s="2">
        <v>120000</v>
      </c>
      <c r="F73" s="3">
        <v>46280</v>
      </c>
      <c r="G73" t="s">
        <v>19</v>
      </c>
      <c r="H73" t="s">
        <v>27</v>
      </c>
      <c r="I73" t="s">
        <v>14</v>
      </c>
    </row>
    <row r="74" spans="1:9">
      <c r="A74" t="s">
        <v>116</v>
      </c>
      <c r="B74" t="s">
        <v>52</v>
      </c>
      <c r="C74" t="s">
        <v>10</v>
      </c>
      <c r="D74" t="s">
        <v>23</v>
      </c>
      <c r="E74" s="2">
        <v>450000</v>
      </c>
      <c r="F74" s="3">
        <v>46294</v>
      </c>
      <c r="G74" t="s">
        <v>19</v>
      </c>
      <c r="H74" t="s">
        <v>20</v>
      </c>
      <c r="I74" t="s">
        <v>14</v>
      </c>
    </row>
    <row r="75" spans="1:9">
      <c r="A75" t="s">
        <v>117</v>
      </c>
      <c r="B75" t="s">
        <v>39</v>
      </c>
      <c r="C75" t="s">
        <v>10</v>
      </c>
      <c r="D75" t="s">
        <v>26</v>
      </c>
      <c r="E75" s="2">
        <v>120000</v>
      </c>
      <c r="F75" s="3">
        <v>46270</v>
      </c>
      <c r="G75" t="s">
        <v>31</v>
      </c>
      <c r="H75" t="s">
        <v>27</v>
      </c>
      <c r="I75" t="s">
        <v>14</v>
      </c>
    </row>
    <row r="76" spans="1:9">
      <c r="A76" t="s">
        <v>118</v>
      </c>
      <c r="B76" t="s">
        <v>39</v>
      </c>
      <c r="C76" t="s">
        <v>17</v>
      </c>
      <c r="D76" t="s">
        <v>26</v>
      </c>
      <c r="E76" s="2">
        <v>45000</v>
      </c>
      <c r="F76" s="3">
        <v>46267</v>
      </c>
      <c r="G76" t="s">
        <v>31</v>
      </c>
      <c r="H76" t="s">
        <v>13</v>
      </c>
      <c r="I76" t="s">
        <v>14</v>
      </c>
    </row>
    <row r="77" spans="1:9">
      <c r="A77" t="s">
        <v>119</v>
      </c>
      <c r="B77" t="s">
        <v>64</v>
      </c>
      <c r="C77" t="s">
        <v>10</v>
      </c>
      <c r="D77" t="s">
        <v>26</v>
      </c>
      <c r="E77" s="2">
        <v>45000</v>
      </c>
      <c r="F77" s="3">
        <v>46266</v>
      </c>
      <c r="G77" t="s">
        <v>31</v>
      </c>
      <c r="H77" t="s">
        <v>32</v>
      </c>
      <c r="I77" t="s">
        <v>14</v>
      </c>
    </row>
    <row r="78" spans="1:9">
      <c r="A78" t="s">
        <v>120</v>
      </c>
      <c r="B78" t="s">
        <v>46</v>
      </c>
      <c r="C78" t="s">
        <v>10</v>
      </c>
      <c r="D78" t="s">
        <v>18</v>
      </c>
      <c r="E78" s="2">
        <v>500000</v>
      </c>
      <c r="F78" s="3">
        <v>46273</v>
      </c>
      <c r="G78" t="s">
        <v>12</v>
      </c>
      <c r="H78" t="s">
        <v>32</v>
      </c>
      <c r="I78" t="s">
        <v>40</v>
      </c>
    </row>
    <row r="79" spans="1:9">
      <c r="A79" t="s">
        <v>121</v>
      </c>
      <c r="B79" t="s">
        <v>37</v>
      </c>
      <c r="C79" t="s">
        <v>17</v>
      </c>
      <c r="D79" t="s">
        <v>23</v>
      </c>
      <c r="E79" s="2">
        <v>700000</v>
      </c>
      <c r="F79" s="3">
        <v>46289</v>
      </c>
      <c r="G79" t="s">
        <v>19</v>
      </c>
      <c r="H79" t="s">
        <v>13</v>
      </c>
      <c r="I79" t="s">
        <v>14</v>
      </c>
    </row>
    <row r="80" spans="1:9">
      <c r="A80" t="s">
        <v>122</v>
      </c>
      <c r="B80" t="s">
        <v>9</v>
      </c>
      <c r="C80" t="s">
        <v>10</v>
      </c>
      <c r="D80" t="s">
        <v>26</v>
      </c>
      <c r="E80" s="2">
        <v>90000</v>
      </c>
      <c r="F80" s="3">
        <v>46284</v>
      </c>
      <c r="G80" t="s">
        <v>31</v>
      </c>
      <c r="H80" t="s">
        <v>20</v>
      </c>
      <c r="I80" t="s">
        <v>14</v>
      </c>
    </row>
    <row r="81" spans="1:9">
      <c r="A81" t="s">
        <v>123</v>
      </c>
      <c r="B81" t="s">
        <v>46</v>
      </c>
      <c r="C81" t="s">
        <v>10</v>
      </c>
      <c r="D81" t="s">
        <v>26</v>
      </c>
      <c r="E81" s="2">
        <v>15000</v>
      </c>
      <c r="F81" s="3">
        <v>46267</v>
      </c>
      <c r="G81" t="s">
        <v>19</v>
      </c>
      <c r="H81" t="s">
        <v>32</v>
      </c>
      <c r="I81" t="s">
        <v>14</v>
      </c>
    </row>
    <row r="82" spans="1:9">
      <c r="A82" t="s">
        <v>124</v>
      </c>
      <c r="B82" t="s">
        <v>50</v>
      </c>
      <c r="C82" t="s">
        <v>10</v>
      </c>
      <c r="D82" t="s">
        <v>23</v>
      </c>
      <c r="E82" s="2">
        <v>450000</v>
      </c>
      <c r="F82" s="3">
        <v>46290</v>
      </c>
      <c r="G82" t="s">
        <v>31</v>
      </c>
      <c r="H82" t="s">
        <v>27</v>
      </c>
      <c r="I82" t="s">
        <v>14</v>
      </c>
    </row>
    <row r="83" spans="1:9">
      <c r="A83" t="s">
        <v>125</v>
      </c>
      <c r="B83" t="s">
        <v>52</v>
      </c>
      <c r="C83" t="s">
        <v>10</v>
      </c>
      <c r="D83" t="s">
        <v>11</v>
      </c>
      <c r="E83" s="2">
        <v>1200000</v>
      </c>
      <c r="F83" s="3">
        <v>46266</v>
      </c>
      <c r="G83" t="s">
        <v>24</v>
      </c>
      <c r="H83" t="s">
        <v>20</v>
      </c>
      <c r="I83" t="s">
        <v>40</v>
      </c>
    </row>
    <row r="84" spans="1:9">
      <c r="A84" t="s">
        <v>126</v>
      </c>
      <c r="B84" t="s">
        <v>9</v>
      </c>
      <c r="C84" t="s">
        <v>30</v>
      </c>
      <c r="D84" t="s">
        <v>11</v>
      </c>
      <c r="E84" s="2">
        <v>15000</v>
      </c>
      <c r="F84" s="3">
        <v>46290</v>
      </c>
      <c r="G84" t="s">
        <v>19</v>
      </c>
      <c r="H84" t="s">
        <v>13</v>
      </c>
      <c r="I84" t="s">
        <v>14</v>
      </c>
    </row>
    <row r="85" spans="1:9">
      <c r="A85" t="s">
        <v>127</v>
      </c>
      <c r="B85" t="s">
        <v>68</v>
      </c>
      <c r="C85" t="s">
        <v>17</v>
      </c>
      <c r="D85" t="s">
        <v>18</v>
      </c>
      <c r="E85" s="2">
        <v>80000</v>
      </c>
      <c r="F85" s="3">
        <v>46270</v>
      </c>
      <c r="G85" t="s">
        <v>19</v>
      </c>
      <c r="H85" t="s">
        <v>32</v>
      </c>
      <c r="I85" t="s">
        <v>14</v>
      </c>
    </row>
    <row r="86" spans="1:9">
      <c r="A86" t="s">
        <v>128</v>
      </c>
      <c r="B86" t="s">
        <v>62</v>
      </c>
      <c r="C86" t="s">
        <v>17</v>
      </c>
      <c r="D86" t="s">
        <v>23</v>
      </c>
      <c r="E86" s="2">
        <v>450000</v>
      </c>
      <c r="F86" s="3">
        <v>46271</v>
      </c>
      <c r="G86" t="s">
        <v>12</v>
      </c>
      <c r="H86" t="s">
        <v>20</v>
      </c>
      <c r="I86" t="s">
        <v>14</v>
      </c>
    </row>
    <row r="87" spans="1:9">
      <c r="A87" t="s">
        <v>129</v>
      </c>
      <c r="B87" t="s">
        <v>9</v>
      </c>
      <c r="C87" t="s">
        <v>30</v>
      </c>
      <c r="D87" t="s">
        <v>23</v>
      </c>
      <c r="E87" s="2">
        <v>45000</v>
      </c>
      <c r="F87" s="3">
        <v>46284</v>
      </c>
      <c r="G87" t="s">
        <v>31</v>
      </c>
      <c r="H87" t="s">
        <v>32</v>
      </c>
      <c r="I87" t="s">
        <v>14</v>
      </c>
    </row>
    <row r="88" spans="1:9">
      <c r="A88" t="s">
        <v>130</v>
      </c>
      <c r="B88" t="s">
        <v>43</v>
      </c>
      <c r="C88" t="s">
        <v>10</v>
      </c>
      <c r="D88" t="s">
        <v>18</v>
      </c>
      <c r="E88" s="2">
        <v>25000</v>
      </c>
      <c r="F88" s="3">
        <v>46284</v>
      </c>
      <c r="G88" t="s">
        <v>24</v>
      </c>
      <c r="H88" t="s">
        <v>13</v>
      </c>
      <c r="I88" t="s">
        <v>14</v>
      </c>
    </row>
    <row r="89" spans="1:9">
      <c r="A89" t="s">
        <v>131</v>
      </c>
      <c r="B89" t="s">
        <v>70</v>
      </c>
      <c r="C89" t="s">
        <v>17</v>
      </c>
      <c r="D89" t="s">
        <v>11</v>
      </c>
      <c r="E89" s="2">
        <v>500000</v>
      </c>
      <c r="F89" s="3">
        <v>46283</v>
      </c>
      <c r="G89" t="s">
        <v>12</v>
      </c>
      <c r="H89" t="s">
        <v>27</v>
      </c>
      <c r="I89" t="s">
        <v>14</v>
      </c>
    </row>
    <row r="90" spans="1:9">
      <c r="A90" t="s">
        <v>132</v>
      </c>
      <c r="B90" t="s">
        <v>68</v>
      </c>
      <c r="C90" t="s">
        <v>10</v>
      </c>
      <c r="D90" t="s">
        <v>11</v>
      </c>
      <c r="E90" s="2">
        <v>700000</v>
      </c>
      <c r="F90" s="3">
        <v>46292</v>
      </c>
      <c r="G90" t="s">
        <v>24</v>
      </c>
      <c r="H90" t="s">
        <v>32</v>
      </c>
      <c r="I90" t="s">
        <v>14</v>
      </c>
    </row>
    <row r="91" spans="1:9">
      <c r="A91" t="s">
        <v>133</v>
      </c>
      <c r="B91" t="s">
        <v>56</v>
      </c>
      <c r="C91" t="s">
        <v>30</v>
      </c>
      <c r="D91" t="s">
        <v>18</v>
      </c>
      <c r="E91" s="2">
        <v>250000</v>
      </c>
      <c r="F91" s="3">
        <v>46271</v>
      </c>
      <c r="G91" t="s">
        <v>24</v>
      </c>
      <c r="H91" t="s">
        <v>32</v>
      </c>
      <c r="I91" t="s">
        <v>14</v>
      </c>
    </row>
    <row r="92" spans="1:9">
      <c r="A92" t="s">
        <v>134</v>
      </c>
      <c r="B92" t="s">
        <v>135</v>
      </c>
      <c r="C92" t="s">
        <v>10</v>
      </c>
      <c r="D92" t="s">
        <v>26</v>
      </c>
      <c r="E92" s="2">
        <v>45000</v>
      </c>
      <c r="F92" s="3">
        <v>46292</v>
      </c>
      <c r="G92" t="s">
        <v>19</v>
      </c>
      <c r="H92" t="s">
        <v>13</v>
      </c>
      <c r="I92" t="s">
        <v>14</v>
      </c>
    </row>
    <row r="93" spans="1:9">
      <c r="A93" t="s">
        <v>136</v>
      </c>
      <c r="B93" t="s">
        <v>54</v>
      </c>
      <c r="C93" t="s">
        <v>17</v>
      </c>
      <c r="D93" t="s">
        <v>23</v>
      </c>
      <c r="E93" s="2">
        <v>1800000</v>
      </c>
      <c r="F93" s="3">
        <v>46273</v>
      </c>
      <c r="G93" t="s">
        <v>31</v>
      </c>
      <c r="H93" t="s">
        <v>27</v>
      </c>
      <c r="I93" t="s">
        <v>40</v>
      </c>
    </row>
    <row r="94" spans="1:9">
      <c r="A94" t="s">
        <v>137</v>
      </c>
      <c r="B94" t="s">
        <v>58</v>
      </c>
      <c r="C94" t="s">
        <v>10</v>
      </c>
      <c r="D94" t="s">
        <v>11</v>
      </c>
      <c r="E94" s="2">
        <v>1200000</v>
      </c>
      <c r="F94" s="3">
        <v>46293</v>
      </c>
      <c r="G94" t="s">
        <v>19</v>
      </c>
      <c r="H94" t="s">
        <v>27</v>
      </c>
      <c r="I94" t="s">
        <v>40</v>
      </c>
    </row>
    <row r="95" spans="1:9">
      <c r="A95" t="s">
        <v>138</v>
      </c>
      <c r="B95" t="s">
        <v>62</v>
      </c>
      <c r="C95" t="s">
        <v>17</v>
      </c>
      <c r="D95" t="s">
        <v>23</v>
      </c>
      <c r="E95" s="2">
        <v>450000</v>
      </c>
      <c r="F95" s="3">
        <v>46274</v>
      </c>
      <c r="G95" t="s">
        <v>24</v>
      </c>
      <c r="H95" t="s">
        <v>13</v>
      </c>
      <c r="I95" t="s">
        <v>14</v>
      </c>
    </row>
    <row r="96" spans="1:9">
      <c r="A96" t="s">
        <v>139</v>
      </c>
      <c r="B96" t="s">
        <v>70</v>
      </c>
      <c r="C96" t="s">
        <v>10</v>
      </c>
      <c r="D96" t="s">
        <v>18</v>
      </c>
      <c r="E96" s="2">
        <v>25000</v>
      </c>
      <c r="F96" s="3">
        <v>46273</v>
      </c>
      <c r="G96" t="s">
        <v>19</v>
      </c>
      <c r="H96" t="s">
        <v>32</v>
      </c>
      <c r="I96" t="s">
        <v>14</v>
      </c>
    </row>
    <row r="97" spans="1:9">
      <c r="A97" t="s">
        <v>140</v>
      </c>
      <c r="B97" t="s">
        <v>9</v>
      </c>
      <c r="C97" t="s">
        <v>10</v>
      </c>
      <c r="D97" t="s">
        <v>26</v>
      </c>
      <c r="E97" s="2">
        <v>45000</v>
      </c>
      <c r="F97" s="3">
        <v>46291</v>
      </c>
      <c r="G97" t="s">
        <v>19</v>
      </c>
      <c r="H97" t="s">
        <v>32</v>
      </c>
      <c r="I97" t="s">
        <v>14</v>
      </c>
    </row>
    <row r="98" spans="1:9">
      <c r="A98" t="s">
        <v>141</v>
      </c>
      <c r="B98" t="s">
        <v>135</v>
      </c>
      <c r="C98" t="s">
        <v>10</v>
      </c>
      <c r="D98" t="s">
        <v>18</v>
      </c>
      <c r="E98" s="2">
        <v>120000</v>
      </c>
      <c r="F98" s="3">
        <v>46287</v>
      </c>
      <c r="G98" t="s">
        <v>24</v>
      </c>
      <c r="H98" t="s">
        <v>32</v>
      </c>
      <c r="I98" t="s">
        <v>14</v>
      </c>
    </row>
    <row r="99" spans="1:9">
      <c r="A99" t="s">
        <v>142</v>
      </c>
      <c r="B99" t="s">
        <v>54</v>
      </c>
      <c r="C99" t="s">
        <v>10</v>
      </c>
      <c r="D99" t="s">
        <v>23</v>
      </c>
      <c r="E99" s="2">
        <v>450000</v>
      </c>
      <c r="F99" s="3">
        <v>46288</v>
      </c>
      <c r="G99" t="s">
        <v>24</v>
      </c>
      <c r="H99" t="s">
        <v>20</v>
      </c>
      <c r="I99" t="s">
        <v>14</v>
      </c>
    </row>
    <row r="100" spans="1:9">
      <c r="A100" t="s">
        <v>143</v>
      </c>
      <c r="B100" t="s">
        <v>29</v>
      </c>
      <c r="C100" t="s">
        <v>17</v>
      </c>
      <c r="D100" t="s">
        <v>11</v>
      </c>
      <c r="E100" s="2">
        <v>150000</v>
      </c>
      <c r="F100" s="3">
        <v>46276</v>
      </c>
      <c r="G100" t="s">
        <v>19</v>
      </c>
      <c r="H100" t="s">
        <v>20</v>
      </c>
      <c r="I100" t="s">
        <v>14</v>
      </c>
    </row>
    <row r="101" spans="1:9">
      <c r="A101" t="s">
        <v>144</v>
      </c>
      <c r="B101" t="s">
        <v>135</v>
      </c>
      <c r="C101" t="s">
        <v>30</v>
      </c>
      <c r="D101" t="s">
        <v>18</v>
      </c>
      <c r="E101" s="2">
        <v>500000</v>
      </c>
      <c r="F101" s="3">
        <v>46274</v>
      </c>
      <c r="G101" t="s">
        <v>24</v>
      </c>
      <c r="H101" t="s">
        <v>13</v>
      </c>
      <c r="I101" t="s">
        <v>40</v>
      </c>
    </row>
  </sheetData>
  <autoFilter ref="A1:I101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22" customWidth="1"/>
    <col min="2" max="2" width="85" customWidth="1"/>
    <col min="3" max="3" width="95" customWidth="1"/>
  </cols>
  <sheetData>
    <row r="1" spans="1:3">
      <c r="A1" s="4" t="s">
        <v>145</v>
      </c>
      <c r="B1" s="4" t="s">
        <v>146</v>
      </c>
      <c r="C1" s="4" t="s">
        <v>147</v>
      </c>
    </row>
    <row r="2" spans="1:3">
      <c r="A2" t="s">
        <v>148</v>
      </c>
      <c r="B2" t="s">
        <v>149</v>
      </c>
      <c r="C2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Banking_Financial_Analytics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gaudencia nyaji</cp:lastModifiedBy>
  <dcterms:created xsi:type="dcterms:W3CDTF">2026-10-11T08:34:08Z</dcterms:created>
  <dcterms:modified xsi:type="dcterms:W3CDTF">2026-10-14T11:30:45Z</dcterms:modified>
</cp:coreProperties>
</file>